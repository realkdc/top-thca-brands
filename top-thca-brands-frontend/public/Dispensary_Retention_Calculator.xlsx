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sz val="18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" customWidth="1" min="3" max="3"/>
    <col width="28" customWidth="1" min="4" max="4"/>
    <col width="18" customWidth="1" min="5" max="5"/>
    <col width="12" customWidth="1" min="6" max="6"/>
  </cols>
  <sheetData>
    <row r="1">
      <c r="A1" s="1" t="inlineStr">
        <is>
          <t>Dispensary Retention Calculator</t>
        </is>
      </c>
    </row>
    <row r="3">
      <c r="A3" s="2" t="inlineStr">
        <is>
          <t>INPUTS (edit yellow cells)</t>
        </is>
      </c>
    </row>
    <row r="4">
      <c r="D4" s="3" t="inlineStr">
        <is>
          <t>Helper (do not edit)</t>
        </is>
      </c>
    </row>
    <row r="5">
      <c r="A5" s="3" t="inlineStr">
        <is>
          <t>Monthly customers</t>
        </is>
      </c>
      <c r="B5" s="4" t="n">
        <v>2500</v>
      </c>
      <c r="D5" s="5" t="inlineStr">
        <is>
          <t>Current repeat rate (decimal)</t>
        </is>
      </c>
      <c r="E5" s="6">
        <f>B7/100</f>
        <v/>
      </c>
    </row>
    <row r="6">
      <c r="A6" s="3" t="inlineStr">
        <is>
          <t>Average order value (AOV)</t>
        </is>
      </c>
      <c r="B6" s="4" t="n">
        <v>48</v>
      </c>
      <c r="D6" s="5" t="inlineStr">
        <is>
          <t>Target repeat rate (decimal)</t>
        </is>
      </c>
      <c r="E6" s="6">
        <f>B8/100</f>
        <v/>
      </c>
    </row>
    <row r="7">
      <c r="A7" s="3" t="inlineStr">
        <is>
          <t>Current repeat rate (%)</t>
        </is>
      </c>
      <c r="B7" s="4" t="n">
        <v>22</v>
      </c>
      <c r="D7" s="5" t="inlineStr">
        <is>
          <t>Gross margin (decimal)</t>
        </is>
      </c>
      <c r="E7" s="6">
        <f>B9/100</f>
        <v/>
      </c>
    </row>
    <row r="8">
      <c r="A8" s="3" t="inlineStr">
        <is>
          <t>Target repeat rate with app (%)</t>
        </is>
      </c>
      <c r="B8" s="4" t="n">
        <v>32</v>
      </c>
    </row>
    <row r="9">
      <c r="A9" s="3" t="inlineStr">
        <is>
          <t>Gross margin (%)</t>
        </is>
      </c>
      <c r="B9" s="4" t="n">
        <v>55</v>
      </c>
    </row>
    <row r="11">
      <c r="A11" s="2" t="inlineStr">
        <is>
          <t>OUTPUTS (auto)</t>
        </is>
      </c>
      <c r="D11" s="7" t="inlineStr">
        <is>
          <t>You’re leaving (profit/mo):</t>
        </is>
      </c>
    </row>
    <row r="12"/>
    <row r="13">
      <c r="A13" s="3" t="inlineStr">
        <is>
          <t>Baseline repeat orders / mo</t>
        </is>
      </c>
      <c r="B13" s="6">
        <f>B5*E5</f>
        <v/>
      </c>
      <c r="D13" s="8">
        <f>B16</f>
        <v/>
      </c>
      <c r="E13" s="9" t="n"/>
      <c r="F13" s="9" t="n"/>
    </row>
    <row r="14">
      <c r="A14" s="3" t="inlineStr">
        <is>
          <t>Target repeat orders / mo</t>
        </is>
      </c>
      <c r="B14" s="6">
        <f>B5*E6</f>
        <v/>
      </c>
      <c r="D14" s="9" t="n"/>
      <c r="E14" s="9" t="n"/>
      <c r="F14" s="9" t="n"/>
    </row>
    <row r="15">
      <c r="A15" s="3" t="inlineStr">
        <is>
          <t>Incremental repeat orders / mo</t>
        </is>
      </c>
      <c r="B15" s="6">
        <f>B13-B12</f>
        <v/>
      </c>
      <c r="D15" s="9" t="n"/>
      <c r="E15" s="9" t="n"/>
      <c r="F15" s="9" t="n"/>
    </row>
    <row r="16">
      <c r="A16" s="3" t="inlineStr">
        <is>
          <t>Incremental revenue / mo</t>
        </is>
      </c>
      <c r="B16" s="6">
        <f>(B14*B6)</f>
        <v/>
      </c>
    </row>
    <row r="17">
      <c r="A17" s="3" t="inlineStr">
        <is>
          <t>Incremental gross profit / mo</t>
        </is>
      </c>
      <c r="B17" s="6">
        <f>B15*E7</f>
        <v/>
      </c>
    </row>
    <row r="18">
      <c r="A18" s="2" t="inlineStr">
        <is>
          <t>Notes:</t>
        </is>
      </c>
    </row>
    <row r="19">
      <c r="A19" s="10" t="inlineStr">
        <is>
          <t>• Repeat rate = % of monthly customers who return in the same month.
• Adjust target repeat rate conservatively (e.g., +5–15 points with app).
• Gross margin = revenue minus COGS; excludes labor/overheads.
• This is a directional estimate to quantify retention upside.</t>
        </is>
      </c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4">
      <c r="A24" s="11" t="inlineStr">
        <is>
          <t>Generated 2025-11-09 — Top THCA Brands × GreenLoop</t>
        </is>
      </c>
    </row>
  </sheetData>
  <mergeCells count="5">
    <mergeCell ref="A1:F1"/>
    <mergeCell ref="D11:F12"/>
    <mergeCell ref="D13:F15"/>
    <mergeCell ref="A19:F22"/>
    <mergeCell ref="A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2025-11-09T16:46:10Z</dcterms:created>
  <dcterms:modified xmlns:dcterms="http://purl.org/dc/terms/" xmlns:xsi="http://www.w3.org/2001/XMLSchema-instance" xsi:type="dcterms:W3CDTF">2025-11-09T16:46:10Z</dcterms:modified>
</cp:coreProperties>
</file>